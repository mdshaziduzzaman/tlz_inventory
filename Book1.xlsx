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laude\inventory\"/>
    </mc:Choice>
  </mc:AlternateContent>
  <xr:revisionPtr revIDLastSave="0" documentId="13_ncr:1_{12711973-7541-4E77-9D36-DE4EFD559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H19" i="1"/>
  <c r="H17" i="1"/>
  <c r="G23" i="1"/>
  <c r="G21" i="1"/>
  <c r="F26" i="1"/>
  <c r="F23" i="1"/>
  <c r="F24" i="1"/>
  <c r="G17" i="1"/>
  <c r="F22" i="1"/>
  <c r="E17" i="1"/>
  <c r="G18" i="1"/>
  <c r="F18" i="1"/>
  <c r="F17" i="1"/>
  <c r="F19" i="1" s="1"/>
  <c r="E16" i="1"/>
  <c r="E18" i="1"/>
  <c r="G19" i="1" l="1"/>
</calcChain>
</file>

<file path=xl/sharedStrings.xml><?xml version="1.0" encoding="utf-8"?>
<sst xmlns="http://schemas.openxmlformats.org/spreadsheetml/2006/main" count="49" uniqueCount="41">
  <si>
    <t>BY DATE REPOT</t>
  </si>
  <si>
    <t>DT</t>
  </si>
  <si>
    <t>AT.N</t>
  </si>
  <si>
    <t>CLOUR</t>
  </si>
  <si>
    <t>SIZE</t>
  </si>
  <si>
    <t>QTY</t>
  </si>
  <si>
    <t>BAR</t>
  </si>
  <si>
    <t>F01</t>
  </si>
  <si>
    <t>BLK</t>
  </si>
  <si>
    <t>TIPE</t>
  </si>
  <si>
    <t>GREEN</t>
  </si>
  <si>
    <t>RED</t>
  </si>
  <si>
    <t>SELL=GREEN</t>
  </si>
  <si>
    <t>DAMEGE=RED</t>
  </si>
  <si>
    <t>SUMMARY REPORT</t>
  </si>
  <si>
    <t>DT RANGE</t>
  </si>
  <si>
    <t>SLECT DT RANG</t>
  </si>
  <si>
    <t>FILTER BTN</t>
  </si>
  <si>
    <t>SELL-QTY</t>
  </si>
  <si>
    <t>DMG-QTY</t>
  </si>
  <si>
    <t>FRESH-QTY</t>
  </si>
  <si>
    <t>TOTAL</t>
  </si>
  <si>
    <t>STOCK IN-SELL+Return = 100-20+5</t>
  </si>
  <si>
    <t>STOCK IN - SELL - DEMAGAE + Return  = 100-20-3+5</t>
  </si>
  <si>
    <t>deb vi</t>
  </si>
  <si>
    <t>Total</t>
  </si>
  <si>
    <t>Maria Nishat</t>
  </si>
  <si>
    <t>Amount</t>
  </si>
  <si>
    <t>Actual Amount</t>
  </si>
  <si>
    <t>Total Amount</t>
  </si>
  <si>
    <t>Paid</t>
  </si>
  <si>
    <t>Deb vi</t>
  </si>
  <si>
    <t>Total Paid</t>
  </si>
  <si>
    <t>Amar kase silo</t>
  </si>
  <si>
    <t xml:space="preserve">Total </t>
  </si>
  <si>
    <t>tarikul notun dise</t>
  </si>
  <si>
    <t>added total</t>
  </si>
  <si>
    <t>amar kase thakbe akhn</t>
  </si>
  <si>
    <t>market e due ase</t>
  </si>
  <si>
    <t>tarikul invest</t>
  </si>
  <si>
    <t>profit shoho pabe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</si>
</sst>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G14" sqref="G14"/>
    </sheetView>
  </sheetViews>
  <sheetFormatPr defaultRowHeight="14.4" x14ac:dyDescent="0.3"/>
  <cols>
    <col min="1" max="1" width="11.5546875" customWidth="1"/>
    <col min="2" max="2" width="11.44140625" bestFit="1" customWidth="1"/>
    <col min="7" max="7" width="45.5546875" bestFit="1" customWidth="1"/>
    <col min="8" max="8" width="39.88671875" style="4" customWidth="1"/>
  </cols>
  <sheetData>
    <row r="1" spans="1:11" x14ac:dyDescent="0.3">
      <c r="A1" s="1"/>
      <c r="B1" s="1"/>
      <c r="C1" s="1"/>
      <c r="D1" s="1" t="s">
        <v>0</v>
      </c>
      <c r="E1" s="1"/>
      <c r="F1" s="1"/>
      <c r="G1" s="1" t="s">
        <v>12</v>
      </c>
      <c r="H1" s="3"/>
      <c r="I1" s="1" t="s">
        <v>13</v>
      </c>
      <c r="J1" s="1"/>
      <c r="K1" s="1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9</v>
      </c>
      <c r="H2" s="3"/>
      <c r="I2" s="1"/>
      <c r="J2" s="1"/>
      <c r="K2" s="1"/>
    </row>
    <row r="3" spans="1:11" x14ac:dyDescent="0.3">
      <c r="A3" s="1">
        <v>10</v>
      </c>
      <c r="B3" s="1" t="s">
        <v>7</v>
      </c>
      <c r="C3" s="1" t="s">
        <v>8</v>
      </c>
      <c r="D3" s="1">
        <v>39</v>
      </c>
      <c r="E3" s="1">
        <v>1</v>
      </c>
      <c r="F3" s="1">
        <v>123456</v>
      </c>
      <c r="G3" s="1" t="s">
        <v>10</v>
      </c>
      <c r="H3" s="3"/>
      <c r="I3" s="1"/>
      <c r="J3" s="1"/>
      <c r="K3" s="1"/>
    </row>
    <row r="4" spans="1:11" x14ac:dyDescent="0.3">
      <c r="A4" s="1">
        <v>10</v>
      </c>
      <c r="B4" s="1" t="s">
        <v>7</v>
      </c>
      <c r="C4" s="1" t="s">
        <v>8</v>
      </c>
      <c r="D4" s="1">
        <v>39</v>
      </c>
      <c r="E4" s="1">
        <v>1</v>
      </c>
      <c r="F4" s="1">
        <v>123457</v>
      </c>
      <c r="G4" s="1" t="s">
        <v>11</v>
      </c>
      <c r="H4" s="3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3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3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3"/>
      <c r="I7" s="1"/>
      <c r="J7" s="1"/>
      <c r="K7" s="1"/>
    </row>
    <row r="8" spans="1:11" x14ac:dyDescent="0.3">
      <c r="A8" s="1"/>
      <c r="B8" s="1"/>
      <c r="C8" s="1"/>
      <c r="D8" s="1" t="s">
        <v>14</v>
      </c>
      <c r="E8" s="1"/>
      <c r="F8" s="1"/>
      <c r="G8" s="1"/>
      <c r="H8" s="3"/>
      <c r="I8" s="1"/>
      <c r="J8" s="1"/>
      <c r="K8" s="1"/>
    </row>
    <row r="9" spans="1:11" x14ac:dyDescent="0.3">
      <c r="A9" s="1" t="s">
        <v>16</v>
      </c>
      <c r="B9" s="1"/>
      <c r="C9" s="1" t="s">
        <v>17</v>
      </c>
      <c r="D9" s="1"/>
      <c r="E9" s="1"/>
      <c r="F9" s="1"/>
      <c r="G9" s="1"/>
      <c r="H9" s="3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3"/>
      <c r="I10" s="1"/>
      <c r="J10" s="1"/>
      <c r="K10" s="1"/>
    </row>
    <row r="11" spans="1:11" x14ac:dyDescent="0.3">
      <c r="A11" s="1" t="s">
        <v>15</v>
      </c>
      <c r="B11" s="1" t="s">
        <v>2</v>
      </c>
      <c r="C11" s="1" t="s">
        <v>3</v>
      </c>
      <c r="D11" s="1" t="s">
        <v>4</v>
      </c>
      <c r="E11" s="1" t="s">
        <v>18</v>
      </c>
      <c r="F11" s="1" t="s">
        <v>19</v>
      </c>
      <c r="G11" s="1" t="s">
        <v>20</v>
      </c>
      <c r="H11" s="3" t="s">
        <v>21</v>
      </c>
      <c r="I11" s="1"/>
      <c r="J11" s="1"/>
      <c r="K11" s="1"/>
    </row>
    <row r="12" spans="1:11" x14ac:dyDescent="0.3">
      <c r="A12" s="2">
        <v>46315</v>
      </c>
      <c r="B12" s="1" t="s">
        <v>7</v>
      </c>
      <c r="C12" s="1" t="s">
        <v>8</v>
      </c>
      <c r="D12" s="1">
        <v>39</v>
      </c>
      <c r="E12" s="1">
        <v>20</v>
      </c>
      <c r="F12" s="1">
        <v>3</v>
      </c>
      <c r="G12" s="1" t="s">
        <v>23</v>
      </c>
      <c r="H12" s="3" t="s">
        <v>22</v>
      </c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3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3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3"/>
      <c r="I15" s="1"/>
      <c r="J15" s="1"/>
      <c r="K15" s="1"/>
    </row>
    <row r="16" spans="1:11" x14ac:dyDescent="0.3">
      <c r="A16" s="1"/>
      <c r="B16" s="1"/>
      <c r="C16" s="1"/>
      <c r="D16" s="1" t="s">
        <v>25</v>
      </c>
      <c r="E16" s="1">
        <f>SUM(E17:E21)</f>
        <v>537.88</v>
      </c>
      <c r="F16" s="1" t="s">
        <v>27</v>
      </c>
      <c r="G16" s="1" t="s">
        <v>28</v>
      </c>
      <c r="H16" s="3" t="s">
        <v>39</v>
      </c>
      <c r="I16" s="1"/>
      <c r="J16" s="1"/>
      <c r="K16" s="1"/>
    </row>
    <row r="17" spans="1:11" x14ac:dyDescent="0.3">
      <c r="A17" s="1"/>
      <c r="B17" s="1" t="s">
        <v>24</v>
      </c>
      <c r="C17" s="1">
        <v>121</v>
      </c>
      <c r="D17" s="1">
        <v>129</v>
      </c>
      <c r="E17" s="1">
        <f>C17+D17-18.12</f>
        <v>231.88</v>
      </c>
      <c r="F17" s="1">
        <f>E17*125</f>
        <v>28985</v>
      </c>
      <c r="G17" s="5">
        <f>(E17+18.12)*120</f>
        <v>30000</v>
      </c>
      <c r="H17" s="13">
        <f>31900+6000</f>
        <v>37900</v>
      </c>
      <c r="I17" s="1"/>
      <c r="J17" s="1"/>
      <c r="K17" s="1"/>
    </row>
    <row r="18" spans="1:11" x14ac:dyDescent="0.3">
      <c r="A18" s="1"/>
      <c r="B18" s="1" t="s">
        <v>26</v>
      </c>
      <c r="C18" s="1">
        <v>200</v>
      </c>
      <c r="D18" s="1">
        <v>106</v>
      </c>
      <c r="E18" s="1">
        <f>C18+D18</f>
        <v>306</v>
      </c>
      <c r="F18" s="1">
        <f>E18*125</f>
        <v>38250</v>
      </c>
      <c r="G18" s="5">
        <f>E18*120</f>
        <v>36720</v>
      </c>
      <c r="H18" s="3" t="s">
        <v>40</v>
      </c>
      <c r="I18" s="1"/>
      <c r="J18" s="1"/>
      <c r="K18" s="1"/>
    </row>
    <row r="19" spans="1:11" x14ac:dyDescent="0.3">
      <c r="A19" s="1"/>
      <c r="B19" s="1"/>
      <c r="C19" s="1"/>
      <c r="D19" s="7" t="s">
        <v>29</v>
      </c>
      <c r="E19" s="1"/>
      <c r="F19" s="9">
        <f>SUM(F17:F18)</f>
        <v>67235</v>
      </c>
      <c r="G19" s="11">
        <f>SUM(G17:G18)</f>
        <v>66720</v>
      </c>
      <c r="H19" s="14">
        <f>H17+(H17/4000)*50</f>
        <v>38373.75</v>
      </c>
      <c r="I19" s="1"/>
      <c r="J19" s="1"/>
      <c r="K19" s="1"/>
    </row>
    <row r="20" spans="1:11" x14ac:dyDescent="0.3">
      <c r="A20" s="1"/>
      <c r="B20" s="1"/>
      <c r="C20" s="1" t="s">
        <v>30</v>
      </c>
      <c r="D20" s="1" t="s">
        <v>26</v>
      </c>
      <c r="E20" s="1"/>
      <c r="F20" s="1">
        <v>25000</v>
      </c>
      <c r="G20" s="5" t="s">
        <v>37</v>
      </c>
      <c r="H20" s="3"/>
      <c r="I20" s="1"/>
      <c r="J20" s="1"/>
      <c r="K20" s="1"/>
    </row>
    <row r="21" spans="1:11" x14ac:dyDescent="0.3">
      <c r="A21" s="1"/>
      <c r="B21" s="1"/>
      <c r="C21" s="1"/>
      <c r="D21" s="1" t="s">
        <v>31</v>
      </c>
      <c r="E21" s="1"/>
      <c r="F21" s="1">
        <v>10000</v>
      </c>
      <c r="G21" s="10">
        <f>F26-G19</f>
        <v>2780</v>
      </c>
      <c r="H21" s="3"/>
      <c r="I21" s="1"/>
      <c r="J21" s="1"/>
      <c r="K21" s="1"/>
    </row>
    <row r="22" spans="1:11" x14ac:dyDescent="0.3">
      <c r="A22" s="1"/>
      <c r="B22" s="1"/>
      <c r="C22" s="1"/>
      <c r="D22" s="6" t="s">
        <v>32</v>
      </c>
      <c r="E22" s="1"/>
      <c r="F22" s="9">
        <f>F21+F20</f>
        <v>35000</v>
      </c>
      <c r="G22" s="5" t="s">
        <v>38</v>
      </c>
      <c r="H22" s="3"/>
      <c r="I22" s="1"/>
      <c r="J22" s="1"/>
      <c r="K22" s="1"/>
    </row>
    <row r="23" spans="1:11" x14ac:dyDescent="0.3">
      <c r="A23" s="1"/>
      <c r="B23" s="1"/>
      <c r="D23" s="1" t="s">
        <v>33</v>
      </c>
      <c r="E23" s="1"/>
      <c r="F23" s="6">
        <f>25000 + 3500</f>
        <v>28500</v>
      </c>
      <c r="G23" s="12">
        <f>F19-F22</f>
        <v>32235</v>
      </c>
      <c r="H23" s="3"/>
      <c r="I23" s="1"/>
      <c r="J23" s="1"/>
      <c r="K23" s="1"/>
    </row>
    <row r="24" spans="1:11" x14ac:dyDescent="0.3">
      <c r="A24" s="1"/>
      <c r="B24" s="1"/>
      <c r="C24" s="1"/>
      <c r="D24" s="6" t="s">
        <v>34</v>
      </c>
      <c r="E24" s="1"/>
      <c r="F24" s="8">
        <f>F23+F22</f>
        <v>63500</v>
      </c>
      <c r="G24" s="15" t="str">
        <f>"total amar kase hobe = "&amp; G23+G21</f>
        <v>total amar kase hobe = 35015</v>
      </c>
      <c r="H24" s="3"/>
      <c r="I24" s="1"/>
      <c r="J24" s="1"/>
      <c r="K24" s="1"/>
    </row>
    <row r="25" spans="1:11" x14ac:dyDescent="0.3">
      <c r="A25" s="1"/>
      <c r="B25" s="1"/>
      <c r="C25" s="6" t="s">
        <v>35</v>
      </c>
      <c r="D25" s="1"/>
      <c r="E25" s="1"/>
      <c r="F25" s="1">
        <v>6000</v>
      </c>
      <c r="G25" s="1"/>
      <c r="H25" s="3"/>
      <c r="I25" s="1"/>
      <c r="J25" s="1"/>
      <c r="K25" s="1"/>
    </row>
    <row r="26" spans="1:11" x14ac:dyDescent="0.3">
      <c r="A26" s="1"/>
      <c r="B26" s="1"/>
      <c r="C26" s="1"/>
      <c r="D26" s="1" t="s">
        <v>36</v>
      </c>
      <c r="E26" s="1"/>
      <c r="F26" s="6">
        <f>F24+F25</f>
        <v>69500</v>
      </c>
      <c r="G26" s="1"/>
      <c r="H26" s="3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3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3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3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3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3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3"/>
      <c r="I32" s="1"/>
      <c r="J32" s="1"/>
      <c r="K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Alam</dc:creator>
  <cp:lastModifiedBy>Md. Shaziduzzaman</cp:lastModifiedBy>
  <dcterms:created xsi:type="dcterms:W3CDTF">2026-08-15T16:06:37Z</dcterms:created>
  <dcterms:modified xsi:type="dcterms:W3CDTF">2026-08-20T20:23:18Z</dcterms:modified>
</cp:coreProperties>
</file>